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eabde2ce5445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01b9464827b5442b"/>
    <x:sheet xmlns:r="http://schemas.openxmlformats.org/officeDocument/2006/relationships" name="商家数据" sheetId="2" r:id="Rae014a6ecba9442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"/>
    <x:numFmt numFmtId="201" formatCode="#,##0"/>
    <x:numFmt numFmtId="202" formatCode="0.000000"/>
    <x:numFmt numFmtId="203" formatCode="@"/>
    <x:numFmt numFmtId="204" formatCode="0.0%"/>
  </x:numFmts>
  <x:fonts count="12">
    <x:font>
      <x:sz val="11"/>
      <x:name val="Carlito"/>
    </x:font>
    <x:font>
      <x:sz val="11"/>
      <x:name val="Arial"/>
    </x:font>
    <x:font>
      <x:sz val="10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5"/>
      <x:color rgb="FFFFFFFF"/>
      <x:name val="Arial"/>
    </x:font>
    <x:font>
      <x:b/>
      <x:sz val="11"/>
      <x:name val="Arial"/>
    </x:font>
    <x:font>
      <x:b/>
      <x:sz val="1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5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center"/>
    </x:xf>
    <x:xf numFmtId="0" fontId="2" fillId="0" borderId="3" xfId="0" applyNumberFormat="1" applyFont="1" applyFill="1" applyBorder="1" applyAlignment="1">
      <x:alignment horizontal="center"/>
    </x:xf>
    <x:xf numFmtId="0" fontId="2" fillId="0" borderId="2" xfId="0" applyNumberFormat="1" applyFont="1" applyFill="1" applyBorder="1" applyAlignment="1">
      <x:alignment horizontal="right"/>
    </x:xf>
    <x:xf numFmtId="0" fontId="2" fillId="0" borderId="3" xfId="0" applyNumberFormat="1" applyFont="1" applyFill="1" applyBorder="1" applyAlignment="1">
      <x:alignment horizontal="right"/>
    </x:xf>
    <x:xf numFmtId="200" fontId="2" fillId="0" borderId="2" xfId="0" applyNumberFormat="1" applyFont="1" applyFill="1" applyBorder="1" applyAlignment="1">
      <x:alignment horizontal="right"/>
    </x:xf>
    <x:xf numFmtId="200" fontId="2" fillId="0" borderId="3" xfId="0" applyNumberFormat="1" applyFont="1" applyFill="1" applyBorder="1" applyAlignment="1">
      <x:alignment horizontal="right"/>
    </x:xf>
    <x:xf numFmtId="201" fontId="2" fillId="0" borderId="2" xfId="0" applyNumberFormat="1" applyFont="1" applyFill="1" applyBorder="1" applyAlignment="1">
      <x:alignment horizontal="right"/>
    </x:xf>
    <x:xf numFmtId="201" fontId="2" fillId="0" borderId="3" xfId="0" applyNumberFormat="1" applyFont="1" applyFill="1" applyBorder="1" applyAlignment="1">
      <x:alignment horizontal="right"/>
    </x:xf>
    <x:xf numFmtId="202" fontId="2" fillId="0" borderId="2" xfId="0" applyNumberFormat="1" applyFont="1" applyFill="1" applyBorder="1" applyAlignment="1">
      <x:alignment horizontal="right"/>
    </x:xf>
    <x:xf numFmtId="202" fontId="2" fillId="0" borderId="3" xfId="0" applyNumberFormat="1" applyFont="1" applyFill="1" applyBorder="1" applyAlignment="1">
      <x:alignment horizontal="right"/>
    </x:xf>
    <x:xf numFmtId="203" fontId="2" fillId="0" borderId="2" xfId="0" applyNumberFormat="1" applyFont="1" applyFill="1" applyBorder="1"/>
    <x:xf numFmtId="203" fontId="2" fillId="0" borderId="3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2" borderId="0" xfId="0" applyNumberFormat="1" applyFont="1" applyFill="1" applyBorder="1"/>
    <x:xf numFmtId="204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0" borderId="4" xfId="0" applyNumberFormat="1" applyFont="1" applyFill="1" applyBorder="1"/>
    <x:xf numFmtId="204" fontId="0" fillId="0" borderId="4" xfId="0" applyNumberFormat="1" applyFont="1" applyFill="1" applyBorder="1"/>
    <x:xf numFmtId="0" fontId="8" fillId="3" borderId="4" xfId="0" applyNumberFormat="1" applyFont="1" applyFill="1" applyBorder="1"/>
    <x:xf numFmtId="0" fontId="8" fillId="0" borderId="0" xfId="0" applyNumberFormat="1" applyFont="1" applyFill="1" applyBorder="1"/>
    <x:xf numFmtId="0" fontId="9" fillId="2" borderId="0" xfId="0" applyNumberFormat="1" applyFont="1" applyFill="1" applyBorder="1"/>
    <x:xf numFmtId="0" fontId="10" fillId="3" borderId="4" xfId="0" applyNumberFormat="1" applyFont="1" applyFill="1" applyBorder="1"/>
    <x:xf numFmtId="0" fontId="10" fillId="0" borderId="0" xfId="0" applyNumberFormat="1" applyFont="1" applyFill="1" applyBorder="1"/>
    <x:xf numFmtId="0" fontId="1" fillId="0" borderId="4" xfId="0" applyNumberFormat="1" applyFont="1" applyFill="1" applyBorder="1"/>
    <x:xf numFmtId="204" fontId="1" fillId="0" borderId="4" xfId="0" applyNumberFormat="1" applyFont="1" applyFill="1" applyBorder="1"/>
    <x:xf numFmtId="0" fontId="4" fillId="2" borderId="0" xfId="0" applyNumberFormat="1" applyFont="1" applyFill="1" applyBorder="1"/>
    <x:xf numFmtId="0" fontId="11" fillId="3" borderId="4" xfId="0" applyNumberFormat="1" applyFont="1" applyFill="1" applyBorder="1"/>
    <x:xf numFmtId="0" fontId="11" fillId="0" borderId="0" xfId="0" applyNumberFormat="1" applyFont="1" applyFill="1" applyBorder="1"/>
    <x:xf numFmtId="0" fontId="2" fillId="0" borderId="4" xfId="0" applyNumberFormat="1" applyFont="1" applyFill="1" applyBorder="1"/>
    <x:xf numFmtId="204" fontId="2" fillId="0" borderId="4" xfId="0" applyNumberFormat="1" applyFont="1" applyFill="1" applyBorder="1"/>
    <x:xf numFmtId="0" fontId="11" fillId="0" borderId="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37a13a9ab744b6" /><Relationship Type="http://schemas.openxmlformats.org/officeDocument/2006/relationships/theme" Target="/xl/theme/theme1.xml" Id="R5b44c244d6a14a43" /><Relationship Type="http://schemas.openxmlformats.org/officeDocument/2006/relationships/sharedStrings" Target="/xl/sharedStrings.xml" Id="Rf9a999b1052a4df8" /><Relationship Type="http://schemas.openxmlformats.org/officeDocument/2006/relationships/worksheet" Target="/xl/worksheets/sheet1.xml" Id="R01b9464827b5442b" /><Relationship Type="http://schemas.openxmlformats.org/officeDocument/2006/relationships/worksheet" Target="/xl/worksheets/sheet2.xml" Id="Rae014a6ecba9442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2" hidden="0" customWidth="1"/>
    <x:col min="3" max="3" width="4" hidden="0" customWidth="1"/>
    <x:col min="4" max="4" width="18" hidden="0" customWidth="1"/>
    <x:col min="5" max="5" width="24" hidden="0" customWidth="1"/>
  </x:cols>
  <x:sheetData>
    <x:row r="1" ht="25.5" customHeight="1">
      <x:c r="A1" s="40" t="str">
        <x:v>Serper Maps 商家线索汇总</x:v>
      </x:c>
      <x:c r="B1" s="40" t="str">
        <x:v>Serper Maps 商家线索汇总</x:v>
      </x:c>
      <x:c r="C1" s="40" t="str">
        <x:v>Serper Maps 商家线索汇总</x:v>
      </x:c>
      <x:c r="D1" s="40" t="str">
        <x:v>Serper Maps 商家线索汇总</x:v>
      </x:c>
      <x:c r="E1" s="2"/>
    </x:row>
    <x:row r="2">
      <x:c r="A2" s="2"/>
      <x:c r="B2" s="2"/>
      <x:c r="C2" s="2"/>
      <x:c r="D2" s="2"/>
      <x:c r="E2" s="2"/>
    </x:row>
    <x:row r="3">
      <x:c r="A3" s="41" t="str">
        <x:v>指标</x:v>
      </x:c>
      <x:c r="B3" s="41" t="str">
        <x:v>数值</x:v>
      </x:c>
      <x:c r="C3" s="42"/>
      <x:c r="D3" s="41" t="str">
        <x:v>字段</x:v>
      </x:c>
      <x:c r="E3" s="41" t="str">
        <x:v>值</x:v>
      </x:c>
    </x:row>
    <x:row r="4">
      <x:c r="A4" s="45" t="str">
        <x:v>搜索词</x:v>
      </x:c>
      <x:c r="B4" s="43" t="str">
        <x:v>bearing distributor</x:v>
      </x:c>
      <x:c r="C4" s="2"/>
      <x:c r="D4" s="45" t="str">
        <x:v>返回 credits</x:v>
      </x:c>
      <x:c r="E4" s="43" t="n">
        <x:v>3</x:v>
      </x:c>
    </x:row>
    <x:row r="5">
      <x:c r="A5" s="45" t="str">
        <x:v>地图区域 ll</x:v>
      </x:c>
      <x:c r="B5" s="43" t="str">
        <x:v>@41.6469296,-73.2681778,8z</x:v>
      </x:c>
      <x:c r="C5" s="2"/>
      <x:c r="D5" s="45" t="str">
        <x:v>返回结果位置范围</x:v>
      </x:c>
      <x:c r="E5" s="43" t="str">
        <x:v>1-20</x:v>
      </x:c>
    </x:row>
    <x:row r="6">
      <x:c r="A6" s="45" t="str">
        <x:v>商家总数</x:v>
      </x:c>
      <x:c r="B6" s="43" t="n">
        <x:f>COUNTA('商家数据'!B2:B21)</x:f>
        <x:v>20</x:v>
      </x:c>
      <x:c r="C6" s="2"/>
      <x:c r="D6" s="45" t="str">
        <x:v>原始类型</x:v>
      </x:c>
      <x:c r="E6" s="43" t="str">
        <x:v>maps</x:v>
      </x:c>
    </x:row>
    <x:row r="7">
      <x:c r="A7" s="45" t="str">
        <x:v>有官网数量</x:v>
      </x:c>
      <x:c r="B7" s="43" t="n">
        <x:f>COUNTIF('商家数据'!D2:D21,"有官网")</x:f>
        <x:v>16</x:v>
      </x:c>
      <x:c r="C7" s="2"/>
      <x:c r="D7" s="2"/>
      <x:c r="E7" s="2"/>
    </x:row>
    <x:row r="8">
      <x:c r="A8" s="45" t="str">
        <x:v>无官网数量</x:v>
      </x:c>
      <x:c r="B8" s="43" t="n">
        <x:f>B6-B7</x:f>
        <x:v>4</x:v>
      </x:c>
      <x:c r="C8" s="2"/>
      <x:c r="D8" s="2"/>
      <x:c r="E8" s="2"/>
    </x:row>
    <x:row r="9">
      <x:c r="A9" s="45" t="str">
        <x:v>官网覆盖率</x:v>
      </x:c>
      <x:c r="B9" s="44" t="n">
        <x:f>IFERROR(B7/B6,0)</x:f>
        <x:v>0.8</x:v>
      </x:c>
      <x:c r="C9" s="2"/>
      <x:c r="D9" s="2"/>
      <x:c r="E9" s="2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0" hidden="0" customWidth="1"/>
    <x:col min="4" max="4" width="11" hidden="0" customWidth="1"/>
    <x:col min="5" max="5" width="16" hidden="0" customWidth="1"/>
    <x:col min="6" max="6" width="34" hidden="0" customWidth="1"/>
    <x:col min="7" max="7" width="22" hidden="0" customWidth="1"/>
    <x:col min="8" max="8" width="38" hidden="0" customWidth="1"/>
    <x:col min="9" max="9" width="8" hidden="0" customWidth="1"/>
    <x:col min="10" max="10" width="9" hidden="0" customWidth="1"/>
    <x:col min="11" max="11" width="12" hidden="0" customWidth="1"/>
    <x:col min="12" max="12" width="12" hidden="0" customWidth="1"/>
    <x:col min="13" max="13" width="31" hidden="0" customWidth="1"/>
    <x:col min="14" max="14" width="22" hidden="0" customWidth="1"/>
    <x:col min="15" max="15" width="31" hidden="0" customWidth="1"/>
    <x:col min="16" max="16" width="44" hidden="0" customWidth="1"/>
    <x:col min="17" max="17" width="26" hidden="0" customWidth="1"/>
    <x:col min="18" max="18" width="25" hidden="0" customWidth="1"/>
    <x:col min="19" max="19" width="9" hidden="0" customWidth="1"/>
  </x:cols>
  <x:sheetData>
    <x:row r="1" ht="22.5" customHeight="1">
      <x:c r="A1" s="9" t="str">
        <x:v>序号</x:v>
      </x:c>
      <x:c r="B1" s="9" t="str">
        <x:v>公司名称</x:v>
      </x:c>
      <x:c r="C1" s="9" t="str">
        <x:v>官网</x:v>
      </x:c>
      <x:c r="D1" s="9" t="str">
        <x:v>是否有官网</x:v>
      </x:c>
      <x:c r="E1" s="9" t="str">
        <x:v>电话</x:v>
      </x:c>
      <x:c r="F1" s="9" t="str">
        <x:v>地址</x:v>
      </x:c>
      <x:c r="G1" s="9" t="str">
        <x:v>主分类</x:v>
      </x:c>
      <x:c r="H1" s="9" t="str">
        <x:v>全部分类</x:v>
      </x:c>
      <x:c r="I1" s="9" t="str">
        <x:v>评分</x:v>
      </x:c>
      <x:c r="J1" s="9" t="str">
        <x:v>评论数</x:v>
      </x:c>
      <x:c r="K1" s="9" t="str">
        <x:v>纬度</x:v>
      </x:c>
      <x:c r="L1" s="9" t="str">
        <x:v>经度</x:v>
      </x:c>
      <x:c r="M1" s="9" t="str">
        <x:v>Google Place ID</x:v>
      </x:c>
      <x:c r="N1" s="9" t="str">
        <x:v>CID</x:v>
      </x:c>
      <x:c r="O1" s="9" t="str">
        <x:v>FID</x:v>
      </x:c>
      <x:c r="P1" s="9" t="str">
        <x:v>营业时间</x:v>
      </x:c>
      <x:c r="Q1" s="9" t="str">
        <x:v>缩略图</x:v>
      </x:c>
      <x:c r="R1" s="9" t="str">
        <x:v>地图区域 ll</x:v>
      </x:c>
      <x:c r="S1" s="9" t="str">
        <x:v>结果位置</x:v>
      </x:c>
    </x:row>
    <x:row r="2">
      <x:c r="A2" s="10" t="n">
        <x:v>1</x:v>
      </x:c>
      <x:c r="B2" s="4" t="str">
        <x:v>BDI - Bearing Distributors Inc.</x:v>
      </x:c>
      <x:c r="C2" s="4" t="str">
        <x:v>http://www.bdiexpress.com/</x:v>
      </x:c>
      <x:c r="D2" s="10" t="str">
        <x:v>有官网</x:v>
      </x:c>
      <x:c r="E2" s="4" t="str">
        <x:v>(203) 378-2669</x:v>
      </x:c>
      <x:c r="F2" s="22" t="str">
        <x:v>640 Access Rd, Stratford, CT 06615</x:v>
      </x:c>
      <x:c r="G2" s="4" t="str">
        <x:v>Bearing supplier</x:v>
      </x:c>
      <x:c r="H2" s="22" t="str">
        <x:v>Bearing supplier、Distribution service</x:v>
      </x:c>
      <x:c r="I2" s="14" t="n">
        <x:v>3</x:v>
      </x:c>
      <x:c r="J2" s="16" t="n">
        <x:v>2</x:v>
      </x:c>
      <x:c r="K2" s="18" t="n">
        <x:v>41.1687332</x:v>
      </x:c>
      <x:c r="L2" s="18" t="n">
        <x:v>-73.1371295</x:v>
      </x:c>
      <x:c r="M2" s="20" t="str">
        <x:v>ID ChIJzUl6JqcN6IkRGUYJeeacDpw</x:v>
      </x:c>
      <x:c r="N2" s="20" t="str">
        <x:v>ID 11245097833277769241</x:v>
      </x:c>
      <x:c r="O2" s="20" t="str">
        <x:v>ID 0x89e80da7267a49cd:0x9c0e9ce679094619</x:v>
      </x:c>
      <x:c r="P2" s="22" t="str">
        <x:v>Sunday: Closed
Monday: 8 AM–5 PM
Tuesday: 8 AM–5 PM
Wednesday: 8 AM–5 PM
Thursday: 8 AM–5 PM
Friday: 8 AM–5 PM
Saturday: Closed</x:v>
      </x:c>
      <x:c r="Q2" s="4" t="str">
        <x:v>https://lh3.googleusercontent.com/gps-cs-s/APNQkAG4M1HM9vaFmjiGrKAGKrnseTUoAs7ieXeJBTXvftivw_SZmGqGDUbWxHsILh3KjJaCSXtLXM0F6sR37PmtFkO9XHyy6cjFOQwoFifwoNRdxB6g7PBs45O9ZyL_sczTWEWaIg-W</x:v>
      </x:c>
      <x:c r="R2" s="4" t="str">
        <x:v>@41.6469296,-73.2681778,8z</x:v>
      </x:c>
      <x:c r="S2" s="4" t="n">
        <x:v>1</x:v>
      </x:c>
    </x:row>
    <x:row r="3">
      <x:c r="A3" s="10" t="n">
        <x:v>2</x:v>
      </x:c>
      <x:c r="B3" s="4" t="str">
        <x:v>Barden Corporation</x:v>
      </x:c>
      <x:c r="C3" s="4" t="str">
        <x:v>http://www.bardenbearings.com/</x:v>
      </x:c>
      <x:c r="D3" s="10" t="str">
        <x:v>有官网</x:v>
      </x:c>
      <x:c r="E3" s="4" t="str">
        <x:v>(203) 744-2211</x:v>
      </x:c>
      <x:c r="F3" s="22" t="str">
        <x:v>200 Park Ave, Danbury, CT 06810</x:v>
      </x:c>
      <x:c r="G3" s="4" t="str">
        <x:v>Bearing supplier</x:v>
      </x:c>
      <x:c r="H3" s="22" t="str">
        <x:v>Bearing supplier</x:v>
      </x:c>
      <x:c r="I3" s="14" t="n">
        <x:v>4.5</x:v>
      </x:c>
      <x:c r="J3" s="16" t="n">
        <x:v>6</x:v>
      </x:c>
      <x:c r="K3" s="18" t="n">
        <x:v>41.3794288</x:v>
      </x:c>
      <x:c r="L3" s="18" t="n">
        <x:v>-73.4721145</x:v>
      </x:c>
      <x:c r="M3" s="20" t="str">
        <x:v>ID ChIJewmZoXtV3YkRbdBWydSCpAY</x:v>
      </x:c>
      <x:c r="N3" s="20" t="str">
        <x:v>ID 478651310830702701</x:v>
      </x:c>
      <x:c r="O3" s="20" t="str">
        <x:v>ID 0x89dd557ba199097b:0x6a482d4c956d06d</x:v>
      </x:c>
      <x:c r="P3" s="22" t="str">
        <x:v>Sunday: Closed
Monday: Open 24 hours
Tuesday: Open 24 hours
Wednesday: Open 24 hours
Thursday: Open 24 hours
Friday: Open 24 hours
Saturday: Open 24 hours</x:v>
      </x:c>
      <x:c r="Q3" s="4" t="str"/>
      <x:c r="R3" s="4" t="str">
        <x:v>@41.6469296,-73.2681778,8z</x:v>
      </x:c>
      <x:c r="S3" s="4" t="n">
        <x:v>2</x:v>
      </x:c>
    </x:row>
    <x:row r="4">
      <x:c r="A4" s="10" t="n">
        <x:v>3</x:v>
      </x:c>
      <x:c r="B4" s="4" t="str">
        <x:v>Radial Bearing Corporation</x:v>
      </x:c>
      <x:c r="C4" s="4" t="str">
        <x:v>https://radialbearing.com/</x:v>
      </x:c>
      <x:c r="D4" s="10" t="str">
        <x:v>有官网</x:v>
      </x:c>
      <x:c r="E4" s="4" t="str">
        <x:v>(203) 744-0323</x:v>
      </x:c>
      <x:c r="F4" s="22" t="str">
        <x:v>21 Taylor St, Danbury, CT 06810</x:v>
      </x:c>
      <x:c r="G4" s="4" t="str">
        <x:v>Corporate office</x:v>
      </x:c>
      <x:c r="H4" s="22" t="str">
        <x:v>Corporate office</x:v>
      </x:c>
      <x:c r="I4" s="14" t="n">
        <x:v>4.3</x:v>
      </x:c>
      <x:c r="J4" s="16" t="n">
        <x:v>3</x:v>
      </x:c>
      <x:c r="K4" s="18" t="n">
        <x:v>41.3953057</x:v>
      </x:c>
      <x:c r="L4" s="18" t="n">
        <x:v>-73.4375654</x:v>
      </x:c>
      <x:c r="M4" s="20" t="str">
        <x:v>ID ChIJ3UNHsxP_54kRSekn5HNNDvU</x:v>
      </x:c>
      <x:c r="N4" s="20" t="str">
        <x:v>ID 17658136349110692169</x:v>
      </x:c>
      <x:c r="O4" s="20" t="str">
        <x:v>ID 0x89e7ff13b34743dd:0xf50e4d73e427e949</x:v>
      </x:c>
      <x:c r="P4" s="22" t="str"/>
      <x:c r="Q4" s="4" t="str">
        <x:v>https://streetviewpixels-pa.googleapis.com/v1/thumbnail?panoid=E6tq5Q3t7qKahJEsglG6tA&amp;cb_client=search.gws-prod.gps&amp;w=80&amp;h=92&amp;yaw=19.100819&amp;pitch=-85.460175&amp;thumbfov=100</x:v>
      </x:c>
      <x:c r="R4" s="4" t="str">
        <x:v>@41.6469296,-73.2681778,8z</x:v>
      </x:c>
      <x:c r="S4" s="4" t="n">
        <x:v>3</x:v>
      </x:c>
    </x:row>
    <x:row r="5">
      <x:c r="A5" s="10" t="n">
        <x:v>4</x:v>
      </x:c>
      <x:c r="B5" s="4" t="str">
        <x:v>BDI - Bearing Distributors Inc.</x:v>
      </x:c>
      <x:c r="C5" s="4" t="str">
        <x:v>http://www.bdiexpress.com/</x:v>
      </x:c>
      <x:c r="D5" s="10" t="str">
        <x:v>有官网</x:v>
      </x:c>
      <x:c r="E5" s="4" t="str">
        <x:v>(203) 787-6731</x:v>
      </x:c>
      <x:c r="F5" s="22" t="str">
        <x:v>178 Wallace St unit b, New Haven, CT 06511</x:v>
      </x:c>
      <x:c r="G5" s="4" t="str">
        <x:v>Bearing supplier</x:v>
      </x:c>
      <x:c r="H5" s="22" t="str">
        <x:v>Bearing supplier、Distribution service、Hydraulic repair service、Pneumatic tools supplier</x:v>
      </x:c>
      <x:c r="I5" s="14" t="n">
        <x:v>4</x:v>
      </x:c>
      <x:c r="J5" s="16" t="n">
        <x:v>7</x:v>
      </x:c>
      <x:c r="K5" s="18" t="n">
        <x:v>41.3089289</x:v>
      </x:c>
      <x:c r="L5" s="18" t="n">
        <x:v>-72.9116438</x:v>
      </x:c>
      <x:c r="M5" s="20" t="str">
        <x:v>ID ChIJDQ5i_s3Z54kRMagmcNHkQ60</x:v>
      </x:c>
      <x:c r="N5" s="20" t="str">
        <x:v>ID 12485074180182026289</x:v>
      </x:c>
      <x:c r="O5" s="20" t="str">
        <x:v>ID 0x89e7d9cdfe620e0d:0xad43e4d17026a831</x:v>
      </x:c>
      <x:c r="P5" s="22" t="str">
        <x:v>Sunday: Closed
Monday: 8 AM–5 PM
Tuesday: 8 AM–5 PM
Wednesday: 8 AM–5 PM
Thursday: 8 AM–5 PM
Friday: 8 AM–5 PM
Saturday: Closed</x:v>
      </x:c>
      <x:c r="Q5" s="4" t="str">
        <x:v>https://streetviewpixels-pa.googleapis.com/v1/thumbnail?panoid=jh_7sK450Hw9HUmEtk5DlQ&amp;cb_client=search.gws-prod.gps&amp;w=80&amp;h=92&amp;yaw=265.0455&amp;pitch=-87.72937&amp;thumbfov=100</x:v>
      </x:c>
      <x:c r="R5" s="4" t="str">
        <x:v>@41.6469296,-73.2681778,8z</x:v>
      </x:c>
      <x:c r="S5" s="4" t="n">
        <x:v>4</x:v>
      </x:c>
    </x:row>
    <x:row r="6">
      <x:c r="A6" s="10" t="n">
        <x:v>5</x:v>
      </x:c>
      <x:c r="B6" s="4" t="str">
        <x:v>Bearing Distributors Inc</x:v>
      </x:c>
      <x:c r="C6" s="4" t="str">
        <x:v>http://www.bdtroy.com/</x:v>
      </x:c>
      <x:c r="D6" s="10" t="str">
        <x:v>有官网</x:v>
      </x:c>
      <x:c r="E6" s="4" t="str">
        <x:v>(518) 274-2550</x:v>
      </x:c>
      <x:c r="F6" s="22" t="str">
        <x:v>1 Spring Ave, Troy, NY 12180</x:v>
      </x:c>
      <x:c r="G6" s="4" t="str">
        <x:v>Bearing supplier</x:v>
      </x:c>
      <x:c r="H6" s="22" t="str">
        <x:v>Bearing supplier</x:v>
      </x:c>
      <x:c r="I6" s="14" t="n">
        <x:v>5</x:v>
      </x:c>
      <x:c r="J6" s="16" t="n">
        <x:v>1</x:v>
      </x:c>
      <x:c r="K6" s="18" t="n">
        <x:v>42.7190778</x:v>
      </x:c>
      <x:c r="L6" s="18" t="n">
        <x:v>-73.6834397</x:v>
      </x:c>
      <x:c r="M6" s="20" t="str">
        <x:v>ID ChIJby7jixEP3okRjuZ8cxBk4Fw</x:v>
      </x:c>
      <x:c r="N6" s="20" t="str">
        <x:v>ID 6692459068092376718</x:v>
      </x:c>
      <x:c r="O6" s="20" t="str">
        <x:v>ID 0x89de0f118be32e6f:0x5ce06410737ce68e</x:v>
      </x:c>
      <x:c r="P6" s="22" t="str">
        <x:v>Sunday: Closed
Monday: 8 AM–4:30 PM
Tuesday: 8 AM–4:30 PM
Wednesday: 8 AM–4:30 PM
Thursday: 8 AM–4:30 PM
Friday: 8 AM–4:30 PM
Saturday: Closed</x:v>
      </x:c>
      <x:c r="Q6" s="4" t="str">
        <x:v>https://streetviewpixels-pa.googleapis.com/v1/thumbnail?panoid=GToN8N7QfVfRs3Cek2nDJA&amp;cb_client=search.gws-prod.gps&amp;w=80&amp;h=92&amp;yaw=342.39624&amp;pitch=0.94842935&amp;thumbfov=100</x:v>
      </x:c>
      <x:c r="R6" s="4" t="str">
        <x:v>@41.6469296,-73.2681778,8z</x:v>
      </x:c>
      <x:c r="S6" s="4" t="n">
        <x:v>5</x:v>
      </x:c>
    </x:row>
    <x:row r="7">
      <x:c r="A7" s="10" t="n">
        <x:v>6</x:v>
      </x:c>
      <x:c r="B7" s="4" t="str">
        <x:v>BDI - Bearing Distributors Inc.</x:v>
      </x:c>
      <x:c r="C7" s="4" t="str">
        <x:v>http://www.bdiexpress.com/</x:v>
      </x:c>
      <x:c r="D7" s="10" t="str">
        <x:v>有官网</x:v>
      </x:c>
      <x:c r="E7" s="4" t="str">
        <x:v>(860) 296-6147</x:v>
      </x:c>
      <x:c r="F7" s="22" t="str">
        <x:v>170 Elliott St E, Hartford, CT 06114</x:v>
      </x:c>
      <x:c r="G7" s="4" t="str">
        <x:v>Bearing supplier</x:v>
      </x:c>
      <x:c r="H7" s="22" t="str">
        <x:v>Bearing supplier、Distribution service</x:v>
      </x:c>
      <x:c r="I7" s="14"/>
      <x:c r="J7" s="16"/>
      <x:c r="K7" s="18" t="n">
        <x:v>41.7476075</x:v>
      </x:c>
      <x:c r="L7" s="18" t="n">
        <x:v>-72.6655198</x:v>
      </x:c>
      <x:c r="M7" s="20" t="str">
        <x:v>ID ChIJf3rB0gtT5okRA0nZfmHcNVE</x:v>
      </x:c>
      <x:c r="N7" s="20" t="str">
        <x:v>ID 5851825602135935235</x:v>
      </x:c>
      <x:c r="O7" s="20" t="str">
        <x:v>ID 0x89e6530bd2c17a7f:0x5135dc617ed94903</x:v>
      </x:c>
      <x:c r="P7" s="22" t="str">
        <x:v>Sunday: Closed
Monday: 8 AM–5 PM
Tuesday: 8 AM–5 PM
Wednesday: 8 AM–5 PM
Thursday: 8 AM–5 PM
Friday: 8 AM–5 PM
Saturday: Closed</x:v>
      </x:c>
      <x:c r="Q7" s="4" t="str">
        <x:v>https://lh3.googleusercontent.com/gps-cs-s/APNQkAFLWK4tKvO8qCG745zwMTyp9v66_p7c7eOIEQ6WHYC3X-3WWY3DDK_pWrkWNcmveEumE015bZNSot_fcrVAP2rX_Sra-8mgZcoZINc9xZnXG0W_sPz7bO3bIDHUwRrm1_K0Dh86</x:v>
      </x:c>
      <x:c r="R7" s="4" t="str">
        <x:v>@41.6469296,-73.2681778,8z</x:v>
      </x:c>
      <x:c r="S7" s="4" t="n">
        <x:v>6</x:v>
      </x:c>
    </x:row>
    <x:row r="8">
      <x:c r="A8" s="10" t="n">
        <x:v>7</x:v>
      </x:c>
      <x:c r="B8" s="4" t="str">
        <x:v>RBC Bearings Inc</x:v>
      </x:c>
      <x:c r="C8" s="4" t="str"/>
      <x:c r="D8" s="10" t="str">
        <x:v>无官网</x:v>
      </x:c>
      <x:c r="E8" s="4" t="str">
        <x:v>(203) 267-7001</x:v>
      </x:c>
      <x:c r="F8" s="22" t="str">
        <x:v>102 Willenbrock Rd, Oxford, CT 06478</x:v>
      </x:c>
      <x:c r="G8" s="4" t="str">
        <x:v>Bearing supplier</x:v>
      </x:c>
      <x:c r="H8" s="22" t="str">
        <x:v>Bearing supplier</x:v>
      </x:c>
      <x:c r="I8" s="14"/>
      <x:c r="J8" s="16"/>
      <x:c r="K8" s="18" t="n">
        <x:v>41.465902799999995</x:v>
      </x:c>
      <x:c r="L8" s="18" t="n">
        <x:v>-73.1502668</x:v>
      </x:c>
      <x:c r="M8" s="20" t="str">
        <x:v>ID ChIJ1091h5ro54kRuNV9epiEyEM</x:v>
      </x:c>
      <x:c r="N8" s="20" t="str">
        <x:v>ID 4884299586308265400</x:v>
      </x:c>
      <x:c r="O8" s="20" t="str">
        <x:v>ID 0x89e7e89a87754fd7:0x43c884987a7dd5b8</x:v>
      </x:c>
      <x:c r="P8" s="22" t="str"/>
      <x:c r="Q8" s="4" t="str">
        <x:v>https://lh3.googleusercontent.com/gps-cs-s/APNQkAH3soobQc57E4wketlteiV-neoHaEL8RwVpj6Ps5_M5C-DRb571kmM2WQCMIiKIHUlAzhbDoGWLC_G0qt1wg4Yx_oYjRXX2Iw8VpTHRAcyF2wpr0pjxzyx0sSEwhxaB1T5oQG4qiFkxAb4</x:v>
      </x:c>
      <x:c r="R8" s="4" t="str">
        <x:v>@41.6469296,-73.2681778,8z</x:v>
      </x:c>
      <x:c r="S8" s="4" t="n">
        <x:v>7</x:v>
      </x:c>
    </x:row>
    <x:row r="9">
      <x:c r="A9" s="10" t="n">
        <x:v>8</x:v>
      </x:c>
      <x:c r="B9" s="4" t="str">
        <x:v>Bay State Bearing Services Inc</x:v>
      </x:c>
      <x:c r="C9" s="4" t="str">
        <x:v>http://baystatebearings.com/</x:v>
      </x:c>
      <x:c r="D9" s="10" t="str">
        <x:v>有官网</x:v>
      </x:c>
      <x:c r="E9" s="4" t="str">
        <x:v>(860) 953-0055</x:v>
      </x:c>
      <x:c r="F9" s="22" t="str">
        <x:v>285 Murphy Rd, Hartford, CT 06114</x:v>
      </x:c>
      <x:c r="G9" s="4" t="str">
        <x:v>Bearing supplier</x:v>
      </x:c>
      <x:c r="H9" s="22" t="str">
        <x:v>Bearing supplier、Belt shop、Electric motor repair shop</x:v>
      </x:c>
      <x:c r="I9" s="14" t="n">
        <x:v>5</x:v>
      </x:c>
      <x:c r="J9" s="16" t="n">
        <x:v>11</x:v>
      </x:c>
      <x:c r="K9" s="18" t="n">
        <x:v>41.7363869</x:v>
      </x:c>
      <x:c r="L9" s="18" t="n">
        <x:v>-72.6559577</x:v>
      </x:c>
      <x:c r="M9" s="20" t="str">
        <x:v>ID ChIJtY5HRSmt54kRuv2LpXzMXpY</x:v>
      </x:c>
      <x:c r="N9" s="20" t="str">
        <x:v>ID 10835322589225418170</x:v>
      </x:c>
      <x:c r="O9" s="20" t="str">
        <x:v>ID 0x89e7ad2945478eb5:0x965ecc7ca58bfdba</x:v>
      </x:c>
      <x:c r="P9" s="22" t="str">
        <x:v>Sunday: Closed
Monday: 8 AM–5 PM
Tuesday: 8 AM–5 PM
Wednesday: 8 AM–5 PM
Thursday: 8 AM–5 PM
Friday: 8 AM–5 PM
Saturday: Closed</x:v>
      </x:c>
      <x:c r="Q9" s="4" t="str">
        <x:v>https://lh3.googleusercontent.com/gps-cs-s/APNQkAH4CbYzxZ5AzK-VhyYnc4uub4o0HRnhkZcfknASjIAfQadOcwzjfBX2K4jEvXPuwDMrOWNjoB4ZwJ42NC7JQ7S4SxXBfqoWfW6g1J1KykR-OvH0YtpRZcFS5P8Bt4b1hm0ord69ZWtzyzI</x:v>
      </x:c>
      <x:c r="R9" s="4" t="str">
        <x:v>@41.6469296,-73.2681778,8z</x:v>
      </x:c>
      <x:c r="S9" s="4" t="n">
        <x:v>8</x:v>
      </x:c>
    </x:row>
    <x:row r="10">
      <x:c r="A10" s="10" t="n">
        <x:v>9</x:v>
      </x:c>
      <x:c r="B10" s="4" t="str">
        <x:v>R B C Heim Bearings Co</x:v>
      </x:c>
      <x:c r="C10" s="4" t="str">
        <x:v>https://www.rbcbearings.com/HEIM-Bearings</x:v>
      </x:c>
      <x:c r="D10" s="10" t="str">
        <x:v>有官网</x:v>
      </x:c>
      <x:c r="E10" s="4" t="str">
        <x:v>(203) 255-1512</x:v>
      </x:c>
      <x:c r="F10" s="22" t="str">
        <x:v>60 Round Hill Rd, Fairfield, CT 06824</x:v>
      </x:c>
      <x:c r="G10" s="4" t="str">
        <x:v>Manufacturer</x:v>
      </x:c>
      <x:c r="H10" s="22" t="str">
        <x:v>Manufacturer</x:v>
      </x:c>
      <x:c r="I10" s="14"/>
      <x:c r="J10" s="16"/>
      <x:c r="K10" s="18" t="n">
        <x:v>41.1466865</x:v>
      </x:c>
      <x:c r="L10" s="18" t="n">
        <x:v>-73.2523345</x:v>
      </x:c>
      <x:c r="M10" s="20" t="str">
        <x:v>ID ChIJuYMYAD4Q6IkRMZnq8OplIHM</x:v>
      </x:c>
      <x:c r="N10" s="20" t="str">
        <x:v>ID 8295742573355112753</x:v>
      </x:c>
      <x:c r="O10" s="20" t="str">
        <x:v>ID 0x89e8103e001883b9:0x732065eaf0ea9931</x:v>
      </x:c>
      <x:c r="P10" s="22" t="str"/>
      <x:c r="Q10" s="4" t="str"/>
      <x:c r="R10" s="4" t="str">
        <x:v>@41.6469296,-73.2681778,8z</x:v>
      </x:c>
      <x:c r="S10" s="4" t="n">
        <x:v>9</x:v>
      </x:c>
    </x:row>
    <x:row r="11">
      <x:c r="A11" s="10" t="n">
        <x:v>10</x:v>
      </x:c>
      <x:c r="B11" s="4" t="str">
        <x:v>Bearings Limited</x:v>
      </x:c>
      <x:c r="C11" s="4" t="str">
        <x:v>https://www.bearingslimited.com/</x:v>
      </x:c>
      <x:c r="D11" s="10" t="str">
        <x:v>有官网</x:v>
      </x:c>
      <x:c r="E11" s="4" t="str">
        <x:v>(631) 273-8200</x:v>
      </x:c>
      <x:c r="F11" s="22" t="str">
        <x:v>2100 Pacific St, Hauppauge, NY 11788</x:v>
      </x:c>
      <x:c r="G11" s="4" t="str">
        <x:v>Manufacturer</x:v>
      </x:c>
      <x:c r="H11" s="22" t="str">
        <x:v>Manufacturer、Chocolate factory</x:v>
      </x:c>
      <x:c r="I11" s="14" t="n">
        <x:v>5</x:v>
      </x:c>
      <x:c r="J11" s="16" t="n">
        <x:v>4</x:v>
      </x:c>
      <x:c r="K11" s="18" t="n">
        <x:v>40.8048255</x:v>
      </x:c>
      <x:c r="L11" s="18" t="n">
        <x:v>-73.2203256</x:v>
      </x:c>
      <x:c r="M11" s="20" t="str">
        <x:v>ID ChIJLXt4nDkw6IkR9_sEBdBWK6A</x:v>
      </x:c>
      <x:c r="N11" s="20" t="str">
        <x:v>ID 11541413921504426999</x:v>
      </x:c>
      <x:c r="O11" s="20" t="str">
        <x:v>ID 0x89e830399c787b2d:0xa02b56d00504fbf7</x:v>
      </x:c>
      <x:c r="P11" s="22" t="str">
        <x:v>Sunday: Closed
Monday: 7:30 AM–9 PM
Tuesday: 7:30 AM–9 PM
Wednesday: 7:30 AM–9 PM
Thursday: 7:30 AM–9 PM
Friday: 7:30 AM–9 PM
Saturday: Closed</x:v>
      </x:c>
      <x:c r="Q11" s="4" t="str">
        <x:v>https://lh3.googleusercontent.com/gps-cs-s/APNQkAFJd2IW5k2lt06-SMnvt5H9wOEvBNzZxN38JPJEcKhpiU3rO5n5s3oxz8UTJIWzPqQabDqSgPHaBFLmRrOmP0xKEHk0-EZZcwv1LQf_NRnb1dXEA06tal5J5_Ahv1UPySrG3gzJ</x:v>
      </x:c>
      <x:c r="R11" s="4" t="str">
        <x:v>@41.6469296,-73.2681778,8z</x:v>
      </x:c>
      <x:c r="S11" s="4" t="n">
        <x:v>10</x:v>
      </x:c>
    </x:row>
    <x:row r="12">
      <x:c r="A12" s="10" t="n">
        <x:v>11</x:v>
      </x:c>
      <x:c r="B12" s="4" t="str">
        <x:v>RB Bearings - Reus Bearings Corp.</x:v>
      </x:c>
      <x:c r="C12" s="4" t="str">
        <x:v>http://www.rbbearings.com/</x:v>
      </x:c>
      <x:c r="D12" s="10" t="str">
        <x:v>有官网</x:v>
      </x:c>
      <x:c r="E12" s="4" t="str">
        <x:v>(914) 761-9595</x:v>
      </x:c>
      <x:c r="F12" s="22" t="str">
        <x:v>280 Dobbs Ferry Rd Suite 304, White Plains, NY 10607</x:v>
      </x:c>
      <x:c r="G12" s="4" t="str">
        <x:v>Bearing supplier</x:v>
      </x:c>
      <x:c r="H12" s="22" t="str">
        <x:v>Bearing supplier</x:v>
      </x:c>
      <x:c r="I12" s="14"/>
      <x:c r="J12" s="16"/>
      <x:c r="K12" s="18" t="n">
        <x:v>41.0393709</x:v>
      </x:c>
      <x:c r="L12" s="18" t="n">
        <x:v>-73.8049147</x:v>
      </x:c>
      <x:c r="M12" s="20" t="str">
        <x:v>ID ChIJaUSWzDCUwokRPzCSPUdSWCA</x:v>
      </x:c>
      <x:c r="N12" s="20" t="str">
        <x:v>ID 2330703273093378111</x:v>
      </x:c>
      <x:c r="O12" s="20" t="str">
        <x:v>ID 0x89c29430cc964469:0x205852473d92303f</x:v>
      </x:c>
      <x:c r="P12" s="22" t="str">
        <x:v>Sunday: Closed
Monday: 8 AM–5:30 PM
Tuesday: 8 AM–5:30 PM
Wednesday: 8 AM–5:30 PM
Thursday: 8 AM–5:30 PM
Friday: 8 AM–5:30 PM
Saturday: Closed</x:v>
      </x:c>
      <x:c r="Q12" s="4" t="str">
        <x:v>https://lh3.googleusercontent.com/gps-cs-s/APNQkAEK93BJOlebqc4HXWmQFtAgK8GXtHOFfyqCsGgDCRFd_XKohtYrgq3zKwR3ODlg8eqTzosWtqIyEIpmtUIkycsGAvdUkZfqFDE-3vG_CPeAvuLNIq-ZdJlUEyidofQCGEzaujTwFQ</x:v>
      </x:c>
      <x:c r="R12" s="4" t="str">
        <x:v>@41.6469296,-73.2681778,8z</x:v>
      </x:c>
      <x:c r="S12" s="4" t="n">
        <x:v>11</x:v>
      </x:c>
    </x:row>
    <x:row r="13">
      <x:c r="A13" s="10" t="n">
        <x:v>12</x:v>
      </x:c>
      <x:c r="B13" s="4" t="str">
        <x:v>Bearings &amp; Motive Specialties Co Inc</x:v>
      </x:c>
      <x:c r="C13" s="4" t="str"/>
      <x:c r="D13" s="10" t="str">
        <x:v>无官网</x:v>
      </x:c>
      <x:c r="E13" s="4" t="str">
        <x:v>(914) 428-2900</x:v>
      </x:c>
      <x:c r="F13" s="22" t="str">
        <x:v>90 Westmoreland Ave, White Plains, NY 10606</x:v>
      </x:c>
      <x:c r="G13" s="4" t="str">
        <x:v>Bearing supplier</x:v>
      </x:c>
      <x:c r="H13" s="22" t="str">
        <x:v>Bearing supplier</x:v>
      </x:c>
      <x:c r="I13" s="14"/>
      <x:c r="J13" s="16"/>
      <x:c r="K13" s="18" t="n">
        <x:v>41.027498099999995</x:v>
      </x:c>
      <x:c r="L13" s="18" t="n">
        <x:v>-73.77694819999999</x:v>
      </x:c>
      <x:c r="M13" s="20" t="str">
        <x:v>ID ChIJq6q6mEaUwokRkDy1ApssfqM</x:v>
      </x:c>
      <x:c r="N13" s="20" t="str">
        <x:v>ID 11780902719524781200</x:v>
      </x:c>
      <x:c r="O13" s="20" t="str">
        <x:v>ID 0x89c2944698baaaab:0xa37e2c9b02b53c90</x:v>
      </x:c>
      <x:c r="P13" s="22" t="str"/>
      <x:c r="Q13" s="4" t="str">
        <x:v>https://lh3.googleusercontent.com/gps-cs-s/APNQkAFYaSEFxGpXKEU2zXtRDWyjD8YlgJHWTs67nR-mAOsWBmFexTSZpx1ay_ljr5c9VJBhDydrTvagWqiSNLm_FYK8bB0_cnLNYX_XkJIAVnM2fbgMA5CqkVP2WAOFuHkQFaNlf4btbQ</x:v>
      </x:c>
      <x:c r="R13" s="4" t="str">
        <x:v>@41.6469296,-73.2681778,8z</x:v>
      </x:c>
      <x:c r="S13" s="4" t="n">
        <x:v>12</x:v>
      </x:c>
    </x:row>
    <x:row r="14">
      <x:c r="A14" s="10" t="n">
        <x:v>13</x:v>
      </x:c>
      <x:c r="B14" s="4" t="str">
        <x:v>Industrial Bearing &amp; Supply Co</x:v>
      </x:c>
      <x:c r="C14" s="4" t="str">
        <x:v>http://industrialbearingsupply.com/</x:v>
      </x:c>
      <x:c r="D14" s="10" t="str">
        <x:v>有官网</x:v>
      </x:c>
      <x:c r="E14" s="4" t="str">
        <x:v>(718) 526-2658</x:v>
      </x:c>
      <x:c r="F14" s="22" t="str">
        <x:v>91-12 143rd St, Jamaica, NY 11435</x:v>
      </x:c>
      <x:c r="G14" s="4" t="str">
        <x:v>Bearing supplier</x:v>
      </x:c>
      <x:c r="H14" s="22" t="str">
        <x:v>Bearing supplier</x:v>
      </x:c>
      <x:c r="I14" s="14" t="n">
        <x:v>5</x:v>
      </x:c>
      <x:c r="J14" s="16" t="n">
        <x:v>2</x:v>
      </x:c>
      <x:c r="K14" s="18" t="n">
        <x:v>40.7001361</x:v>
      </x:c>
      <x:c r="L14" s="18" t="n">
        <x:v>-73.8109845</x:v>
      </x:c>
      <x:c r="M14" s="20" t="str">
        <x:v>ID ChIJ_9TRac9gwokRknoa0Z03OmA</x:v>
      </x:c>
      <x:c r="N14" s="20" t="str">
        <x:v>ID 6933915727247866514</x:v>
      </x:c>
      <x:c r="O14" s="20" t="str">
        <x:v>ID 0x89c260cf69d1d4ff:0x603a379dd11a7a92</x:v>
      </x:c>
      <x:c r="P14" s="22" t="str"/>
      <x:c r="Q14" s="4" t="str">
        <x:v>https://streetviewpixels-pa.googleapis.com/v1/thumbnail?panoid=FVkL_M96SHK-yvMUbkZn1A&amp;cb_client=search.gws-prod.gps&amp;w=80&amp;h=92&amp;yaw=282.3651&amp;pitch=0&amp;thumbfov=100</x:v>
      </x:c>
      <x:c r="R14" s="4" t="str">
        <x:v>@41.6469296,-73.2681778,8z</x:v>
      </x:c>
      <x:c r="S14" s="4" t="n">
        <x:v>13</x:v>
      </x:c>
    </x:row>
    <x:row r="15">
      <x:c r="A15" s="10" t="n">
        <x:v>14</x:v>
      </x:c>
      <x:c r="B15" s="4" t="str">
        <x:v>Schatz Bearing Corporation</x:v>
      </x:c>
      <x:c r="C15" s="4" t="str">
        <x:v>https://schatzbearing.com/</x:v>
      </x:c>
      <x:c r="D15" s="10" t="str">
        <x:v>有官网</x:v>
      </x:c>
      <x:c r="E15" s="4" t="str">
        <x:v>(845) 452-6000</x:v>
      </x:c>
      <x:c r="F15" s="22" t="str">
        <x:v>10 Fairview Ave, Poughkeepsie, NY 12601</x:v>
      </x:c>
      <x:c r="G15" s="4" t="str">
        <x:v>Bearing supplier</x:v>
      </x:c>
      <x:c r="H15" s="22" t="str">
        <x:v>Bearing supplier</x:v>
      </x:c>
      <x:c r="I15" s="14" t="n">
        <x:v>3.3</x:v>
      </x:c>
      <x:c r="J15" s="16" t="n">
        <x:v>4</x:v>
      </x:c>
      <x:c r="K15" s="18" t="n">
        <x:v>41.715033299999995</x:v>
      </x:c>
      <x:c r="L15" s="18" t="n">
        <x:v>-73.9225518</x:v>
      </x:c>
      <x:c r="M15" s="20" t="str">
        <x:v>ID ChIJd3QqaBA-3YkRje0IIM1yUUQ</x:v>
      </x:c>
      <x:c r="N15" s="20" t="str">
        <x:v>ID 4922842093023980941</x:v>
      </x:c>
      <x:c r="O15" s="20" t="str">
        <x:v>ID 0x89dd3e10682a7477:0x445172cd2008ed8d</x:v>
      </x:c>
      <x:c r="P15" s="22" t="str">
        <x:v>Sunday: Closed
Monday: 8 AM–4:30 PM
Tuesday: 8 AM–4:30 PM
Wednesday: 8 AM–4:30 PM
Thursday: 8 AM–4:30 PM
Friday: 8 AM–4:30 PM
Saturday: Closed</x:v>
      </x:c>
      <x:c r="Q15" s="4" t="str">
        <x:v>https://lh3.googleusercontent.com/gps-cs-s/APNQkAGJwc-6cmk5mipxQfGtHMlsabxdzl1zpF--WqPBgO6zzWYM7noN_tx62SOsmUWK4ZzcrRi86kfYX4SdLQJKKEXrd_KxOF_9E7R7P9SrSl_6UzNIR2RIjpbbWXv-E9rPgRMSpQn7FQ</x:v>
      </x:c>
      <x:c r="R15" s="4" t="str">
        <x:v>@41.6469296,-73.2681778,8z</x:v>
      </x:c>
      <x:c r="S15" s="4" t="n">
        <x:v>14</x:v>
      </x:c>
    </x:row>
    <x:row r="16">
      <x:c r="A16" s="10" t="n">
        <x:v>15</x:v>
      </x:c>
      <x:c r="B16" s="4" t="str">
        <x:v>BDI - Bearing Distributors Inc.</x:v>
      </x:c>
      <x:c r="C16" s="4" t="str">
        <x:v>http://www.bdiexpress.com/</x:v>
      </x:c>
      <x:c r="D16" s="10" t="str">
        <x:v>有官网</x:v>
      </x:c>
      <x:c r="E16" s="4" t="str">
        <x:v>(860) 448-1731</x:v>
      </x:c>
      <x:c r="F16" s="22" t="str">
        <x:v>120 Leonard Dr Unit e, Groton, CT 06340</x:v>
      </x:c>
      <x:c r="G16" s="4" t="str">
        <x:v>Bearing supplier</x:v>
      </x:c>
      <x:c r="H16" s="22" t="str">
        <x:v>Bearing supplier、Distribution service</x:v>
      </x:c>
      <x:c r="I16" s="14" t="n">
        <x:v>5</x:v>
      </x:c>
      <x:c r="J16" s="16" t="n">
        <x:v>1</x:v>
      </x:c>
      <x:c r="K16" s="18" t="n">
        <x:v>41.3387688</x:v>
      </x:c>
      <x:c r="L16" s="18" t="n">
        <x:v>-72.0465413</x:v>
      </x:c>
      <x:c r="M16" s="20" t="str">
        <x:v>ID ChIJTawcK5oO5okRmwNlLGv7jyc</x:v>
      </x:c>
      <x:c r="N16" s="20" t="str">
        <x:v>ID 2850773526873703323</x:v>
      </x:c>
      <x:c r="O16" s="20" t="str">
        <x:v>ID 0x89e60e9a2b1cac4d:0x278ffb6b2c65039b</x:v>
      </x:c>
      <x:c r="P16" s="22" t="str">
        <x:v>Sunday: Closed
Monday: 8 AM–5 PM
Tuesday: 8 AM–5 PM
Wednesday: 8 AM–5 PM
Thursday: 8 AM–5 PM
Friday: 8 AM–5 PM
Saturday: Closed</x:v>
      </x:c>
      <x:c r="Q16" s="4" t="str">
        <x:v>https://lh3.googleusercontent.com/gps-cs-s/APNQkAEC1lvz0M3MxQJa-JH56O3qG2_x7GpwyDo4ZuOXo-JAqrtd9sPRMUbhYDmOUghCBZZPOF5xkAt427PiZhj3-wS16UjOWnkbxKH3VzwakD3-vyhLeqrrC8L2zMy4SNBS7iZQcUMFRA</x:v>
      </x:c>
      <x:c r="R16" s="4" t="str">
        <x:v>@41.6469296,-73.2681778,8z</x:v>
      </x:c>
      <x:c r="S16" s="4" t="n">
        <x:v>15</x:v>
      </x:c>
    </x:row>
    <x:row r="17">
      <x:c r="A17" s="10" t="n">
        <x:v>16</x:v>
      </x:c>
      <x:c r="B17" s="4" t="str">
        <x:v>Tri-State Bearing &amp; Supply Co</x:v>
      </x:c>
      <x:c r="C17" s="4" t="str"/>
      <x:c r="D17" s="10" t="str">
        <x:v>无官网</x:v>
      </x:c>
      <x:c r="E17" s="4" t="str">
        <x:v>(201) 794-3838</x:v>
      </x:c>
      <x:c r="F17" s="22" t="str">
        <x:v>45 Kulick Rd, Fairfield, NJ 07004</x:v>
      </x:c>
      <x:c r="G17" s="4" t="str">
        <x:v>Bearing supplier</x:v>
      </x:c>
      <x:c r="H17" s="22" t="str">
        <x:v>Bearing supplier、Store</x:v>
      </x:c>
      <x:c r="I17" s="14" t="n">
        <x:v>4.4</x:v>
      </x:c>
      <x:c r="J17" s="16" t="n">
        <x:v>8</x:v>
      </x:c>
      <x:c r="K17" s="18" t="n">
        <x:v>40.8714716</x:v>
      </x:c>
      <x:c r="L17" s="18" t="n">
        <x:v>-74.2929041</x:v>
      </x:c>
      <x:c r="M17" s="20" t="str">
        <x:v>ID ChIJ7al9tur7wokR3CdHztfAh34</x:v>
      </x:c>
      <x:c r="N17" s="20" t="str">
        <x:v>ID 9117468003746129884</x:v>
      </x:c>
      <x:c r="O17" s="20" t="str">
        <x:v>ID 0x89c2fbeab67da9ed:0x7e87c0d7ce4727dc</x:v>
      </x:c>
      <x:c r="P17" s="22" t="str">
        <x:v>Sunday: Closed
Monday: 7 AM–5 PM
Tuesday: 7 AM–5 PM
Wednesday: 7 AM–5 PM
Thursday: 7 AM–5 PM
Friday: 7 AM–5 PM
Saturday: Closed</x:v>
      </x:c>
      <x:c r="Q17" s="4" t="str">
        <x:v>https://lh3.googleusercontent.com/gps-cs-s/APNQkAFG-gYonjRuheJkvpKvMGtqEGfNyrmcV-VpPvIpQJxcVbAHbv3tJOpkjYqJi8Op_3onAOrptVjW1AMQOcFAXhnhmWlQJLkbkn2eYbnEOrNOS7aA8tkLBQgLFdH-ehyysAwaV5QV</x:v>
      </x:c>
      <x:c r="R17" s="4" t="str">
        <x:v>@41.6469296,-73.2681778,8z</x:v>
      </x:c>
      <x:c r="S17" s="4" t="n">
        <x:v>16</x:v>
      </x:c>
    </x:row>
    <x:row r="18">
      <x:c r="A18" s="10" t="n">
        <x:v>17</x:v>
      </x:c>
      <x:c r="B18" s="4" t="str">
        <x:v>Bearing Depot &amp; Supply Inc</x:v>
      </x:c>
      <x:c r="C18" s="4" t="str">
        <x:v>https://bearingdepot.com/</x:v>
      </x:c>
      <x:c r="D18" s="10" t="str">
        <x:v>有官网</x:v>
      </x:c>
      <x:c r="E18" s="4" t="str">
        <x:v>(732) 563-2225</x:v>
      </x:c>
      <x:c r="F18" s="22" t="str">
        <x:v>819 Lincoln Blvd, Middlesex, NJ 08846</x:v>
      </x:c>
      <x:c r="G18" s="4" t="str">
        <x:v>Bearing supplier</x:v>
      </x:c>
      <x:c r="H18" s="22" t="str">
        <x:v>Bearing supplier、Industrial equipment supplier</x:v>
      </x:c>
      <x:c r="I18" s="14" t="n">
        <x:v>4.4</x:v>
      </x:c>
      <x:c r="J18" s="16" t="n">
        <x:v>18</x:v>
      </x:c>
      <x:c r="K18" s="18" t="n">
        <x:v>40.5747814</x:v>
      </x:c>
      <x:c r="L18" s="18" t="n">
        <x:v>-74.4898144</x:v>
      </x:c>
      <x:c r="M18" s="20" t="str">
        <x:v>ID ChIJ9XEdF8-4w4kR-KS5r4yhxz8</x:v>
      </x:c>
      <x:c r="N18" s="20" t="str">
        <x:v>ID 4595819570370553080</x:v>
      </x:c>
      <x:c r="O18" s="20" t="str">
        <x:v>ID 0x89c3b8cf171d71f5:0x3fc7a18cafb9a4f8</x:v>
      </x:c>
      <x:c r="P18" s="22" t="str">
        <x:v>Sunday: Closed
Monday: 8 AM–5 PM
Tuesday: 8 AM–5 PM
Wednesday: 8 AM–5 PM
Thursday: 8 AM–5 PM
Friday: 8 AM–5 PM
Saturday: Closed</x:v>
      </x:c>
      <x:c r="Q18" s="4" t="str">
        <x:v>https://lh3.googleusercontent.com/gps-cs-s/APNQkAEvTNWc9QcwagvoHEvGifa3sQS2Cg3bH4zPku3T0Eoow3iZYeqA7qJKiAICYnzMRIvVPpup99kX64Nfs4oCiA2KWM--p_MJXAp-1r8Hfyzb2wNv2affuhF_gABNDS88pb2VzoYi</x:v>
      </x:c>
      <x:c r="R18" s="4" t="str">
        <x:v>@41.6469296,-73.2681778,8z</x:v>
      </x:c>
      <x:c r="S18" s="4" t="n">
        <x:v>17</x:v>
      </x:c>
    </x:row>
    <x:row r="19">
      <x:c r="A19" s="10" t="n">
        <x:v>18</x:v>
      </x:c>
      <x:c r="B19" s="4" t="str">
        <x:v>HVH Industrial Solutions LLC</x:v>
      </x:c>
      <x:c r="C19" s="4" t="str">
        <x:v>http://hvhindustrial.com/</x:v>
      </x:c>
      <x:c r="D19" s="10" t="str">
        <x:v>有官网</x:v>
      </x:c>
      <x:c r="E19" s="4" t="str">
        <x:v>(866) 577-4040</x:v>
      </x:c>
      <x:c r="F19" s="22" t="str">
        <x:v>200 Charles St, Garfield, NJ 07026</x:v>
      </x:c>
      <x:c r="G19" s="4" t="str">
        <x:v>Bearing supplier</x:v>
      </x:c>
      <x:c r="H19" s="22" t="str">
        <x:v>Bearing supplier、Electric motor repair shop、Electric motor store、Industrial equipment supplier、Pump supplier</x:v>
      </x:c>
      <x:c r="I19" s="14" t="n">
        <x:v>5</x:v>
      </x:c>
      <x:c r="J19" s="16" t="n">
        <x:v>18</x:v>
      </x:c>
      <x:c r="K19" s="18" t="n">
        <x:v>40.8765417</x:v>
      </x:c>
      <x:c r="L19" s="18" t="n">
        <x:v>-74.10148769999999</x:v>
      </x:c>
      <x:c r="M19" s="20" t="str">
        <x:v>ID ChIJX3rfBY37wokRxUxgzw_RhkQ</x:v>
      </x:c>
      <x:c r="N19" s="20" t="str">
        <x:v>ID 4937863907292236997</x:v>
      </x:c>
      <x:c r="O19" s="20" t="str">
        <x:v>ID 0x89c2fb8d05df7a5f:0x4486d10fcf604cc5</x:v>
      </x:c>
      <x:c r="P19" s="22" t="str">
        <x:v>Sunday: Closed
Monday: 8:30 AM–5 PM
Tuesday: 8:30 AM–5 PM
Wednesday: 8:30 AM–5 PM
Thursday: 8:30 AM–5 PM
Friday: 8:30 AM–5 PM
Saturday: Closed</x:v>
      </x:c>
      <x:c r="Q19" s="4" t="str">
        <x:v>https://lh3.googleusercontent.com/gps-cs-s/APNQkAHSLMY2dULS0SfkliTG3Rw6Buxe5hLJl1hVpMPoO0Q05QlaVhUgznCl-6jBYAY81uP4BDuOvslE43qCsUTBsudNgd_IZ1pdGUyyeTgLzRQUWLyunzdgYzFEAY4pRLJPBS1_uU7M</x:v>
      </x:c>
      <x:c r="R19" s="4" t="str">
        <x:v>@41.6469296,-73.2681778,8z</x:v>
      </x:c>
      <x:c r="S19" s="4" t="n">
        <x:v>18</x:v>
      </x:c>
    </x:row>
    <x:row r="20">
      <x:c r="A20" s="10" t="n">
        <x:v>19</x:v>
      </x:c>
      <x:c r="B20" s="4" t="str">
        <x:v>JRK Bearings</x:v>
      </x:c>
      <x:c r="C20" s="4" t="str">
        <x:v>https://jrkbearings.com/connect/</x:v>
      </x:c>
      <x:c r="D20" s="10" t="str">
        <x:v>有官网</x:v>
      </x:c>
      <x:c r="E20" s="4" t="str">
        <x:v>(718) 692-3032</x:v>
      </x:c>
      <x:c r="F20" s="22" t="str">
        <x:v>700-76 Broadway, River Vale, NJ 07675</x:v>
      </x:c>
      <x:c r="G20" s="4" t="str">
        <x:v>Industrial equipment supplier</x:v>
      </x:c>
      <x:c r="H20" s="22" t="str">
        <x:v>Industrial equipment supplier</x:v>
      </x:c>
      <x:c r="I20" s="14"/>
      <x:c r="J20" s="16"/>
      <x:c r="K20" s="18" t="n">
        <x:v>40.998374</x:v>
      </x:c>
      <x:c r="L20" s="18" t="n">
        <x:v>-74.0378941</x:v>
      </x:c>
      <x:c r="M20" s="20" t="str">
        <x:v>ID ChIJAQAA_HjlwokRPlaK9gqg6Nw</x:v>
      </x:c>
      <x:c r="N20" s="20" t="str">
        <x:v>ID 15918148851887396414</x:v>
      </x:c>
      <x:c r="O20" s="20" t="str">
        <x:v>ID 0x89c2e578fc000001:0xdce8a00af68a563e</x:v>
      </x:c>
      <x:c r="P20" s="22" t="str"/>
      <x:c r="Q20" s="4" t="str">
        <x:v>https://streetviewpixels-pa.googleapis.com/v1/thumbnail?panoid=aYtTYzQnzGhnWItXsPzn3Q&amp;cb_client=search.gws-prod.gps&amp;w=80&amp;h=92&amp;yaw=153.36452&amp;pitch=0&amp;thumbfov=100</x:v>
      </x:c>
      <x:c r="R20" s="4" t="str">
        <x:v>@41.6469296,-73.2681778,8z</x:v>
      </x:c>
      <x:c r="S20" s="4" t="n">
        <x:v>19</x:v>
      </x:c>
    </x:row>
    <x:row r="21">
      <x:c r="A21" s="11" t="n">
        <x:v>20</x:v>
      </x:c>
      <x:c r="B21" s="5" t="str">
        <x:v>Worldwide Bearings &amp; Components LLC</x:v>
      </x:c>
      <x:c r="C21" s="5" t="str"/>
      <x:c r="D21" s="11" t="str">
        <x:v>无官网</x:v>
      </x:c>
      <x:c r="E21" s="5" t="str">
        <x:v>(973) 227-4007</x:v>
      </x:c>
      <x:c r="F21" s="23" t="str">
        <x:v>1275 Bloomfield Ave, Fairfield, NJ 07004</x:v>
      </x:c>
      <x:c r="G21" s="5" t="str">
        <x:v>Bearing supplier</x:v>
      </x:c>
      <x:c r="H21" s="23" t="str">
        <x:v>Bearing supplier、Industrial equipment supplier、Store</x:v>
      </x:c>
      <x:c r="I21" s="15" t="n">
        <x:v>5</x:v>
      </x:c>
      <x:c r="J21" s="17" t="n">
        <x:v>1</x:v>
      </x:c>
      <x:c r="K21" s="19" t="n">
        <x:v>40.8611435</x:v>
      </x:c>
      <x:c r="L21" s="19" t="n">
        <x:v>-74.31888649999999</x:v>
      </x:c>
      <x:c r="M21" s="21" t="str">
        <x:v>ID ChIJ-R7FIkoHw4kRwznZ5pzOnxc</x:v>
      </x:c>
      <x:c r="N21" s="21" t="str">
        <x:v>ID 1702306357452552643</x:v>
      </x:c>
      <x:c r="O21" s="21" t="str">
        <x:v>ID 0x89c3074a22c51ef9:0x179fce9ce6d939c3</x:v>
      </x:c>
      <x:c r="P21" s="23" t="str">
        <x:v>Sunday: Closed
Monday: 9 AM–5:30 PM
Tuesday: 9 AM–5:30 PM
Wednesday: 9 AM–5:30 PM
Thursday: 9 AM–5:30 PM
Friday: 9 AM–5:30 PM
Saturday: Closed</x:v>
      </x:c>
      <x:c r="Q21" s="5" t="str">
        <x:v>https://lh3.googleusercontent.com/gps-cs-s/APNQkAEND9t-GnhnqO-3MqXrJj_nKlM8UyX4C6oHX6kuDQndoknL0sFeJ8M1cEC5J4arVO8yAKyETP43-vZXfAvKYTLtN2F0CHUtmbMpF4j-hQinPaNtt6GWSXt92iGEyvybI5YWi-4</x:v>
      </x:c>
      <x:c r="R21" s="5" t="str">
        <x:v>@41.6469296,-73.2681778,8z</x:v>
      </x:c>
      <x:c r="S21" s="5" t="n">
        <x:v>20</x:v>
      </x:c>
    </x:row>
  </x:sheetData>
  <x:pageMargins left="0.7" right="0.7" top="0.75" bottom="0.75" header="0.3" footer="0.3"/>
</x:worksheet>
</file>